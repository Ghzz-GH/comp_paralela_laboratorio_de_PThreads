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e1e3" sheetId="1" r:id="rId5"/>
    <sheet state="visible" name="parte2" sheetId="2" r:id="rId6"/>
  </sheets>
  <definedNames/>
  <calcPr/>
</workbook>
</file>

<file path=xl/sharedStrings.xml><?xml version="1.0" encoding="utf-8"?>
<sst xmlns="http://schemas.openxmlformats.org/spreadsheetml/2006/main" count="17" uniqueCount="16">
  <si>
    <t>Opção do Menu</t>
  </si>
  <si>
    <t>Execução</t>
  </si>
  <si>
    <t>Threads (p)</t>
  </si>
  <si>
    <t>Tempo da execução (s)</t>
  </si>
  <si>
    <t>Tempo Médio em segundos (Tp​)</t>
  </si>
  <si>
    <t>Tempo Médio (s)</t>
  </si>
  <si>
    <t>Speedup (Sp​)</t>
  </si>
  <si>
    <t>Eficiência (Ep​)</t>
  </si>
  <si>
    <t>Conta Corrente
Sequencial</t>
  </si>
  <si>
    <t>Monte Carlo</t>
  </si>
  <si>
    <t>Conta Corrente
Race Condition</t>
  </si>
  <si>
    <t>Soma de Vetores</t>
  </si>
  <si>
    <t>Conta Corrente
Mutex</t>
  </si>
  <si>
    <t>Matriz-Vetor</t>
  </si>
  <si>
    <t>Python
Sequencial</t>
  </si>
  <si>
    <t>Python
Concorrente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</si>
</sst>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0.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1" fillId="2" fontId="2" numFmtId="164" xfId="0" applyAlignment="1" applyBorder="1" applyFill="1" applyFont="1" applyNumberFormat="1">
      <alignment horizontal="right" readingOrder="0" shrinkToFit="0" vertical="center" wrapText="0"/>
    </xf>
    <xf borderId="2" fillId="2" fontId="2" numFmtId="164" xfId="0" applyAlignment="1" applyBorder="1" applyFill="1" applyFont="1" applyNumberFormat="1">
      <alignment horizontal="right" shrinkToFit="0" vertical="center" wrapText="0"/>
    </xf>
    <xf borderId="3" fillId="3" fontId="3" numFmtId="0" xfId="0" applyAlignment="1" applyBorder="1" applyFill="1" applyFont="1">
      <alignment shrinkToFit="0" vertical="center" wrapText="0"/>
    </xf>
    <xf borderId="4" fillId="3" fontId="2" numFmtId="0" xfId="0" applyAlignment="1" applyBorder="1" applyFill="1" applyFont="1">
      <alignment horizontal="right" shrinkToFit="0" vertical="center" wrapText="0"/>
    </xf>
    <xf borderId="4" fillId="3" fontId="2" numFmtId="164" xfId="0" applyAlignment="1" applyBorder="1" applyFill="1" applyFont="1" applyNumberFormat="1">
      <alignment horizontal="right" readingOrder="0" shrinkToFit="0" vertical="center" wrapText="0"/>
    </xf>
    <xf borderId="5" fillId="3" fontId="3" numFmtId="0" xfId="0" applyAlignment="1" applyBorder="1" applyFill="1" applyFont="1">
      <alignment shrinkToFit="0" vertical="center" wrapText="0"/>
    </xf>
    <xf borderId="6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7" fillId="2" fontId="3" numFmtId="0" xfId="0" applyAlignment="1" applyBorder="1" applyFill="1" applyFont="1">
      <alignment shrinkToFit="0" vertical="center" wrapText="0"/>
    </xf>
    <xf borderId="8" fillId="2" fontId="2" numFmtId="0" xfId="0" applyAlignment="1" applyBorder="1" applyFill="1" applyFont="1">
      <alignment horizontal="right" shrinkToFit="0" vertical="center" wrapText="0"/>
    </xf>
    <xf borderId="8" fillId="2" fontId="2" numFmtId="164" xfId="0" applyAlignment="1" applyBorder="1" applyFill="1" applyFont="1" applyNumberFormat="1">
      <alignment horizontal="right" readingOrder="0" shrinkToFit="0" vertical="center" wrapText="0"/>
    </xf>
    <xf borderId="9" fillId="2" fontId="3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arte1e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e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6" displayName="Tabela_2" name="Tabela_2" id="2">
  <tableColumns count="4">
    <tableColumn name="Opção do Menu" id="1"/>
    <tableColumn name="Execução" id="2"/>
    <tableColumn name="Tempo da execução (s)" id="3"/>
    <tableColumn name="Tempo Médio (s)" id="4"/>
  </tableColumns>
  <tableStyleInfo name="parte1e3-style" showColumnStripes="0" showFirstColumn="1" showLastColumn="1" showRowStripes="1"/>
</table>
</file>

<file path=xl/tables/table2.xml><?xml version="1.0" encoding="utf-8"?>
<table xmlns="http://schemas.openxmlformats.org/spreadsheetml/2006/main" ref="A1:E13" displayName="Tabela_1" name="Tabela_1" id="1">
  <tableColumns count="5">
    <tableColumn name="Opção do Menu" id="1"/>
    <tableColumn name="Threads (p)" id="2"/>
    <tableColumn name="Tempo Médio em segundos (Tp​)" id="3"/>
    <tableColumn name="Speedup (Sp​)" id="4"/>
    <tableColumn name="Eficiência (Ep​)" id="5"/>
  </tableColumns>
  <tableStyleInfo name="parte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3</v>
      </c>
      <c r="D1" s="2" t="s">
        <v>5</v>
      </c>
    </row>
    <row r="2" ht="22.5" customHeight="1">
      <c r="A2" s="3" t="s">
        <v>8</v>
      </c>
      <c r="B2" s="4">
        <v>1.0</v>
      </c>
      <c r="C2" s="5">
        <v>0.0951</v>
      </c>
      <c r="D2" s="7">
        <f>AVERAGE(C2:C6)</f>
        <v>0.10052</v>
      </c>
    </row>
    <row r="3" ht="22.5" customHeight="1">
      <c r="B3" s="4">
        <v>2.0</v>
      </c>
      <c r="C3" s="5">
        <v>0.1042</v>
      </c>
      <c r="D3" s="9"/>
    </row>
    <row r="4" ht="22.5" customHeight="1">
      <c r="B4" s="4">
        <v>3.0</v>
      </c>
      <c r="C4" s="5">
        <v>0.1008</v>
      </c>
      <c r="D4" s="9"/>
    </row>
    <row r="5" ht="22.5" customHeight="1">
      <c r="B5" s="4">
        <v>4.0</v>
      </c>
      <c r="C5" s="5">
        <v>0.1033</v>
      </c>
      <c r="D5" s="9"/>
    </row>
    <row r="6" ht="22.5" customHeight="1">
      <c r="A6" s="3"/>
      <c r="B6" s="4">
        <v>5.0</v>
      </c>
      <c r="C6" s="5">
        <v>0.0992</v>
      </c>
      <c r="D6" s="9"/>
    </row>
    <row r="7" ht="22.5" customHeight="1">
      <c r="A7" s="3" t="s">
        <v>10</v>
      </c>
      <c r="B7" s="4">
        <v>1.0</v>
      </c>
      <c r="C7" s="5">
        <v>0.0493</v>
      </c>
      <c r="D7" s="7">
        <f>AVERAGE(C7:C11)</f>
        <v>0.04948</v>
      </c>
    </row>
    <row r="8" ht="22.5" customHeight="1">
      <c r="B8" s="4">
        <v>2.0</v>
      </c>
      <c r="C8" s="5">
        <v>0.0499</v>
      </c>
      <c r="D8" s="9"/>
    </row>
    <row r="9" ht="22.5" customHeight="1">
      <c r="B9" s="4">
        <v>3.0</v>
      </c>
      <c r="C9" s="5">
        <v>0.049</v>
      </c>
      <c r="D9" s="9"/>
    </row>
    <row r="10" ht="22.5" customHeight="1">
      <c r="B10" s="4">
        <v>4.0</v>
      </c>
      <c r="C10" s="5">
        <v>0.0498</v>
      </c>
      <c r="D10" s="9"/>
    </row>
    <row r="11" ht="22.5" customHeight="1">
      <c r="A11" s="3"/>
      <c r="B11" s="4">
        <v>5.0</v>
      </c>
      <c r="C11" s="5">
        <v>0.0494</v>
      </c>
      <c r="D11" s="9"/>
    </row>
    <row r="12" ht="22.5" customHeight="1">
      <c r="A12" s="3" t="s">
        <v>12</v>
      </c>
      <c r="B12" s="4">
        <v>1.0</v>
      </c>
      <c r="C12" s="5">
        <v>4.1696</v>
      </c>
      <c r="D12" s="7">
        <f>AVERAGE(C12:C16)</f>
        <v>3.66616</v>
      </c>
    </row>
    <row r="13" ht="22.5" customHeight="1">
      <c r="B13" s="4">
        <v>2.0</v>
      </c>
      <c r="C13" s="5">
        <v>4.0048</v>
      </c>
      <c r="D13" s="9"/>
    </row>
    <row r="14" ht="22.5" customHeight="1">
      <c r="B14" s="4">
        <v>3.0</v>
      </c>
      <c r="C14" s="5">
        <v>3.499</v>
      </c>
      <c r="D14" s="9"/>
    </row>
    <row r="15" ht="22.5" customHeight="1">
      <c r="B15" s="4">
        <v>4.0</v>
      </c>
      <c r="C15" s="5">
        <v>3.5486</v>
      </c>
      <c r="D15" s="9"/>
    </row>
    <row r="16" ht="22.5" customHeight="1">
      <c r="A16" s="10"/>
      <c r="B16" s="11">
        <v>5.0</v>
      </c>
      <c r="C16" s="7">
        <v>3.1088</v>
      </c>
      <c r="D16" s="9"/>
    </row>
    <row r="17" ht="22.5" customHeight="1">
      <c r="A17" s="3" t="s">
        <v>14</v>
      </c>
      <c r="B17" s="4">
        <v>1.0</v>
      </c>
      <c r="C17" s="5">
        <v>5.9539</v>
      </c>
      <c r="D17" s="7">
        <f>AVERAGE(C17:C21)</f>
        <v>5.5727</v>
      </c>
    </row>
    <row r="18" ht="22.5" customHeight="1">
      <c r="B18" s="4">
        <v>2.0</v>
      </c>
      <c r="C18" s="5">
        <v>5.4457</v>
      </c>
      <c r="D18" s="9"/>
    </row>
    <row r="19" ht="22.5" customHeight="1">
      <c r="B19" s="4">
        <v>3.0</v>
      </c>
      <c r="C19" s="5">
        <v>5.6137</v>
      </c>
      <c r="D19" s="9"/>
    </row>
    <row r="20" ht="22.5" customHeight="1">
      <c r="B20" s="4">
        <v>4.0</v>
      </c>
      <c r="C20" s="5">
        <v>5.417</v>
      </c>
      <c r="D20" s="9"/>
    </row>
    <row r="21" ht="22.5" customHeight="1">
      <c r="A21" s="10"/>
      <c r="B21" s="11">
        <v>5.0</v>
      </c>
      <c r="C21" s="7">
        <v>5.4332</v>
      </c>
      <c r="D21" s="9"/>
    </row>
    <row r="22" ht="22.5" customHeight="1">
      <c r="A22" s="3" t="s">
        <v>15</v>
      </c>
      <c r="B22" s="12">
        <v>1.0</v>
      </c>
      <c r="C22" s="13">
        <v>5.0837</v>
      </c>
      <c r="D22" s="14">
        <f>AVERAGE(C22:C26)</f>
        <v>4.9789</v>
      </c>
    </row>
    <row r="23" ht="22.5" customHeight="1">
      <c r="A23" s="15"/>
      <c r="B23" s="16">
        <v>2.0</v>
      </c>
      <c r="C23" s="17">
        <v>5.1298</v>
      </c>
      <c r="D23" s="18"/>
    </row>
    <row r="24" ht="22.5" customHeight="1">
      <c r="A24" s="19"/>
      <c r="B24" s="12">
        <v>3.0</v>
      </c>
      <c r="C24" s="13">
        <v>4.7735</v>
      </c>
      <c r="D24" s="20"/>
    </row>
    <row r="25" ht="22.5" customHeight="1">
      <c r="A25" s="15"/>
      <c r="B25" s="16">
        <v>4.0</v>
      </c>
      <c r="C25" s="17">
        <v>4.8296</v>
      </c>
      <c r="D25" s="18"/>
    </row>
    <row r="26" ht="22.5" customHeight="1">
      <c r="A26" s="21"/>
      <c r="B26" s="22">
        <v>5.0</v>
      </c>
      <c r="C26" s="23">
        <v>5.0779</v>
      </c>
      <c r="D26" s="24"/>
    </row>
  </sheetData>
  <dataValidations>
    <dataValidation type="custom" allowBlank="1" showDropDown="1" sqref="B2:C2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7.25"/>
    <col customWidth="1" min="3" max="3" width="28.25"/>
    <col customWidth="1" min="4" max="4" width="15.5"/>
    <col customWidth="1" min="5" max="5" width="16.13"/>
    <col customWidth="1" min="8" max="8" width="17.25"/>
    <col customWidth="1" min="9" max="9" width="22.38"/>
    <col customWidth="1" min="10" max="10" width="18.75"/>
    <col customWidth="1" min="11" max="11" width="16.13"/>
  </cols>
  <sheetData>
    <row r="1" ht="22.5" customHeight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</row>
    <row r="2" ht="22.5" customHeight="1">
      <c r="A2" s="3" t="s">
        <v>9</v>
      </c>
      <c r="B2" s="4">
        <v>1.0</v>
      </c>
      <c r="C2" s="5">
        <v>1.2419</v>
      </c>
      <c r="D2" s="6">
        <v>1.0</v>
      </c>
      <c r="E2" s="8">
        <f t="shared" ref="E2:E13" si="1">D2/B2</f>
        <v>1</v>
      </c>
    </row>
    <row r="3" ht="22.5" customHeight="1">
      <c r="B3" s="4">
        <v>2.0</v>
      </c>
      <c r="C3" s="5">
        <v>0.8435</v>
      </c>
      <c r="D3" s="6">
        <f t="shared" ref="D3:D5" si="2">$C$2/C3</f>
        <v>1.472317724</v>
      </c>
      <c r="E3" s="8">
        <f t="shared" si="1"/>
        <v>0.7361588619</v>
      </c>
    </row>
    <row r="4" ht="22.5" customHeight="1">
      <c r="B4" s="4">
        <v>4.0</v>
      </c>
      <c r="C4" s="5">
        <v>0.7594</v>
      </c>
      <c r="D4" s="6">
        <f t="shared" si="2"/>
        <v>1.635370029</v>
      </c>
      <c r="E4" s="8">
        <f t="shared" si="1"/>
        <v>0.4088425072</v>
      </c>
    </row>
    <row r="5" ht="22.5" customHeight="1">
      <c r="B5" s="4">
        <v>8.0</v>
      </c>
      <c r="C5" s="5">
        <v>0.7825</v>
      </c>
      <c r="D5" s="6">
        <f t="shared" si="2"/>
        <v>1.587092652</v>
      </c>
      <c r="E5" s="8">
        <f t="shared" si="1"/>
        <v>0.1983865815</v>
      </c>
    </row>
    <row r="6" ht="22.5" customHeight="1">
      <c r="A6" s="3" t="s">
        <v>11</v>
      </c>
      <c r="B6" s="4">
        <v>1.0</v>
      </c>
      <c r="C6" s="5">
        <v>0.2741</v>
      </c>
      <c r="D6" s="6">
        <v>1.0</v>
      </c>
      <c r="E6" s="8">
        <f t="shared" si="1"/>
        <v>1</v>
      </c>
    </row>
    <row r="7" ht="22.5" customHeight="1">
      <c r="B7" s="4">
        <v>2.0</v>
      </c>
      <c r="C7" s="5">
        <v>0.1581</v>
      </c>
      <c r="D7" s="6">
        <f t="shared" ref="D7:D9" si="3">$C$6/C7</f>
        <v>1.73371284</v>
      </c>
      <c r="E7" s="8">
        <f t="shared" si="1"/>
        <v>0.86685642</v>
      </c>
    </row>
    <row r="8" ht="22.5" customHeight="1">
      <c r="B8" s="4">
        <v>4.0</v>
      </c>
      <c r="C8" s="5">
        <v>0.1723</v>
      </c>
      <c r="D8" s="6">
        <f t="shared" si="3"/>
        <v>1.590829948</v>
      </c>
      <c r="E8" s="8">
        <f t="shared" si="1"/>
        <v>0.3977074869</v>
      </c>
    </row>
    <row r="9" ht="22.5" customHeight="1">
      <c r="B9" s="4">
        <v>8.0</v>
      </c>
      <c r="C9" s="5">
        <v>0.1672</v>
      </c>
      <c r="D9" s="6">
        <f t="shared" si="3"/>
        <v>1.639354067</v>
      </c>
      <c r="E9" s="8">
        <f t="shared" si="1"/>
        <v>0.2049192584</v>
      </c>
    </row>
    <row r="10" ht="22.5" customHeight="1">
      <c r="A10" s="3" t="s">
        <v>13</v>
      </c>
      <c r="B10" s="4">
        <v>1.0</v>
      </c>
      <c r="C10" s="5">
        <v>0.0971</v>
      </c>
      <c r="D10" s="6">
        <v>1.0</v>
      </c>
      <c r="E10" s="8">
        <f t="shared" si="1"/>
        <v>1</v>
      </c>
    </row>
    <row r="11" ht="22.5" customHeight="1">
      <c r="B11" s="4">
        <v>2.0</v>
      </c>
      <c r="C11" s="5">
        <v>0.0521</v>
      </c>
      <c r="D11" s="6">
        <f t="shared" ref="D11:D13" si="4">$C$10/C11</f>
        <v>1.863723608</v>
      </c>
      <c r="E11" s="8">
        <f t="shared" si="1"/>
        <v>0.9318618042</v>
      </c>
    </row>
    <row r="12" ht="22.5" customHeight="1">
      <c r="B12" s="4">
        <v>4.0</v>
      </c>
      <c r="C12" s="5">
        <v>0.0539</v>
      </c>
      <c r="D12" s="6">
        <f t="shared" si="4"/>
        <v>1.80148423</v>
      </c>
      <c r="E12" s="8">
        <f t="shared" si="1"/>
        <v>0.4503710575</v>
      </c>
    </row>
    <row r="13" ht="22.5" customHeight="1">
      <c r="B13" s="4">
        <v>8.0</v>
      </c>
      <c r="C13" s="5">
        <v>0.0526</v>
      </c>
      <c r="D13" s="6">
        <f t="shared" si="4"/>
        <v>1.846007605</v>
      </c>
      <c r="E13" s="8">
        <f t="shared" si="1"/>
        <v>0.2307509506</v>
      </c>
    </row>
  </sheetData>
  <dataValidations>
    <dataValidation type="custom" allowBlank="1" showDropDown="1" sqref="B2:D1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